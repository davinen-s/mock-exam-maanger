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nen.s.curoopen\Downloads\"/>
    </mc:Choice>
  </mc:AlternateContent>
  <bookViews>
    <workbookView xWindow="0" yWindow="0" windowWidth="19368" windowHeight="8484"/>
  </bookViews>
  <sheets>
    <sheet name="Sheet1" sheetId="1" r:id="rId1"/>
  </sheets>
  <functionGroups builtInGroupCount="18"/>
  <definedNames>
    <definedName name="_xlnm._FilterDatabase" localSheetId="0" hidden="1">Sheet1!$A$3:$D$75</definedName>
    <definedName name="Kouogue_Ngassam__Fred__already_took_the_exam__68">Sheet1!$A$5:$A$100</definedName>
    <definedName name="participant_cell_range">Sheet1!$A$4:$A$100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15" i="1"/>
  <c r="G6" i="1"/>
  <c r="G9" i="1"/>
  <c r="G2" i="1"/>
  <c r="G5" i="1"/>
  <c r="G4" i="1"/>
  <c r="G3" i="1" l="1"/>
  <c r="G13" i="1"/>
  <c r="G14" i="1" s="1"/>
</calcChain>
</file>

<file path=xl/sharedStrings.xml><?xml version="1.0" encoding="utf-8"?>
<sst xmlns="http://schemas.openxmlformats.org/spreadsheetml/2006/main" count="159" uniqueCount="70">
  <si>
    <t>FY18 Participant List</t>
  </si>
  <si>
    <t>Participant cell range variable (A4:A100)</t>
  </si>
  <si>
    <t xml:space="preserve"> participant_cell_range</t>
  </si>
  <si>
    <t>Resource Name</t>
  </si>
  <si>
    <t>Exam Date</t>
  </si>
  <si>
    <t>Course Requested</t>
  </si>
  <si>
    <t>Attempts till today</t>
  </si>
  <si>
    <t>OCP 8</t>
  </si>
  <si>
    <t>Attempted and pass exam</t>
  </si>
  <si>
    <t>Attempted and Failed exam</t>
  </si>
  <si>
    <t>OCA 8</t>
  </si>
  <si>
    <t>Exam No Show</t>
  </si>
  <si>
    <t>Left acn with voucher</t>
  </si>
  <si>
    <t>July Exams</t>
  </si>
  <si>
    <t>August Exams</t>
  </si>
  <si>
    <t>OCP7</t>
  </si>
  <si>
    <t xml:space="preserve"> Exam Postponed after FY18</t>
  </si>
  <si>
    <t>Remaining Exams</t>
  </si>
  <si>
    <t>OCP 7</t>
  </si>
  <si>
    <t>1Z0-897  Java EE 6 Web Services Developer Certified Expert</t>
  </si>
  <si>
    <t>1Z0-899  Java EE 6 Web Component Developer Certified Expert</t>
  </si>
  <si>
    <t>1Z0-898 Java EE 6 Java Persistence API Developer Certified Expert </t>
  </si>
  <si>
    <t>1Z0-899 Java EE 6 Web Component Developer Certified Expert </t>
  </si>
  <si>
    <t>1Z0-813</t>
  </si>
  <si>
    <t>1Z0-898</t>
  </si>
  <si>
    <t>resourcename resourceLastName (already took the exam: 68%)</t>
  </si>
  <si>
    <t>resourcename resourceLastName(already took the exam 88%)</t>
  </si>
  <si>
    <t>resourcename resourceLastName (left acn)</t>
  </si>
  <si>
    <t>resourcename resourceLastName (already took the exam 81%)</t>
  </si>
  <si>
    <t>resourcename resourceLastName (already took the exam 61%)</t>
  </si>
  <si>
    <t>resourcename resourceLastName (already took exam 51%)</t>
  </si>
  <si>
    <t>resourcename resourceLastName (already took exam 61%)</t>
  </si>
  <si>
    <t>resourcename resourceLastName (left acn) FY17 budget</t>
  </si>
  <si>
    <t>resourcename resourceLastName (already took exam 71%)</t>
  </si>
  <si>
    <t>resourcename resourceLastName (already took exam 56%)</t>
  </si>
  <si>
    <t>resourcename resourceLastName (already took exam 44%)</t>
  </si>
  <si>
    <t>resourcename resourceLastName (Exam no show)</t>
  </si>
  <si>
    <t>resourcename resourceLastName (already took the exam: result pending)</t>
  </si>
  <si>
    <t>resourcename resourceLastName (already took exam 52%)</t>
  </si>
  <si>
    <t>resourcename resourceLastName</t>
  </si>
  <si>
    <t>resourcename resourceLastName (already took exam 80%)</t>
  </si>
  <si>
    <t>resourcename resourceLastName (already took exam 80%)</t>
  </si>
  <si>
    <t>resourcename resourceLastName (already took exam 36%)</t>
  </si>
  <si>
    <t>resourcename resourceLastName (already took exam 75%)</t>
  </si>
  <si>
    <t xml:space="preserve"> resourcename resourceLastName(already took exam 48)</t>
  </si>
  <si>
    <t xml:space="preserve"> resourcename resourceLastName(2nd attempt)</t>
  </si>
  <si>
    <t>resourcename resourceLastName(already took exam 82%)</t>
  </si>
  <si>
    <t>resourcename1 resourceLastName1</t>
  </si>
  <si>
    <t>resourcename2 resourceLastName2</t>
  </si>
  <si>
    <t>resourcename1 resourceLastName2</t>
  </si>
  <si>
    <t>resourcename2 resourceLastName3</t>
  </si>
  <si>
    <t>resourcename1 resourceLastName3</t>
  </si>
  <si>
    <t>resourcename2 resourceLastName4</t>
  </si>
  <si>
    <t>resourcename1 resourceLastName4</t>
  </si>
  <si>
    <t>resourcename2 resourceLastName5</t>
  </si>
  <si>
    <t>resourcename1 resourceLastName5</t>
  </si>
  <si>
    <t>resourcename2 resourceLastName6</t>
  </si>
  <si>
    <t>resourcename1 resourceLastName6</t>
  </si>
  <si>
    <t>resourcename2 resourceLastName7</t>
  </si>
  <si>
    <t>resourcename resourceLastName  ( changing capa not taking part in certif)</t>
  </si>
  <si>
    <t>resourcename resourceLastName ( changing capa not taking part in certif)</t>
  </si>
  <si>
    <t>resourcename resourceLastName (will not attempt fr now. Will enroll in june)</t>
  </si>
  <si>
    <t>resourcename resourceLastName  (no response)</t>
  </si>
  <si>
    <t>resourcename resourceLastName (no response)</t>
  </si>
  <si>
    <t>resourcename resourceLastName (will be attempting on her own n request refund on myTe)</t>
  </si>
  <si>
    <t>resourcename resourceLastName (left acn - no voucher purchased)</t>
  </si>
  <si>
    <t>resourcename resourceLastName (will not participate for FY18)</t>
  </si>
  <si>
    <t>resourcename resourceLastName ( next financial year)</t>
  </si>
  <si>
    <t>resourcename resourceLastName (request send in MARCH 2018 )</t>
  </si>
  <si>
    <t>resourcename resourceLastName (request send in APRIL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</si>
</sst>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\ mmmm/d/yy\ h:mm\ AM/PM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Arial"/>
      <family val="2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0"/>
      <name val="Helv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C00000"/>
        <bgColor theme="4" tint="0.79998168889431442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4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7" fillId="0" borderId="0"/>
  </cellStyleXfs>
  <cellXfs count="59">
    <xf numFmtId="0" fontId="0" fillId="0" borderId="0" xfId="0"/>
    <xf numFmtId="0" fontId="5" fillId="0" borderId="2" xfId="0" applyFont="1" applyBorder="1"/>
    <xf numFmtId="0" fontId="4" fillId="0" borderId="2" xfId="2" applyBorder="1" applyAlignment="1">
      <alignment horizontal="left"/>
    </xf>
    <xf numFmtId="0" fontId="4" fillId="0" borderId="2" xfId="2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6" borderId="1" xfId="0" applyFill="1" applyBorder="1"/>
    <xf numFmtId="0" fontId="4" fillId="9" borderId="1" xfId="2" applyFill="1" applyBorder="1" applyAlignment="1">
      <alignment horizontal="left"/>
    </xf>
    <xf numFmtId="0" fontId="4" fillId="8" borderId="1" xfId="2" applyFill="1" applyBorder="1" applyAlignment="1">
      <alignment horizontal="center"/>
    </xf>
    <xf numFmtId="0" fontId="0" fillId="3" borderId="2" xfId="0" applyFill="1" applyBorder="1"/>
    <xf numFmtId="0" fontId="0" fillId="5" borderId="2" xfId="0" applyFill="1" applyBorder="1"/>
    <xf numFmtId="0" fontId="8" fillId="5" borderId="2" xfId="0" applyFont="1" applyFill="1" applyBorder="1" applyAlignment="1">
      <alignment vertical="center" wrapText="1"/>
    </xf>
    <xf numFmtId="164" fontId="2" fillId="4" borderId="4" xfId="0" applyNumberFormat="1" applyFont="1" applyFill="1" applyBorder="1" applyAlignment="1">
      <alignment horizontal="center"/>
    </xf>
    <xf numFmtId="0" fontId="4" fillId="8" borderId="2" xfId="2" applyFill="1" applyBorder="1" applyAlignment="1">
      <alignment horizontal="center"/>
    </xf>
    <xf numFmtId="0" fontId="0" fillId="0" borderId="5" xfId="0" applyBorder="1"/>
    <xf numFmtId="0" fontId="4" fillId="9" borderId="2" xfId="2" applyFill="1" applyBorder="1" applyAlignment="1">
      <alignment horizontal="left"/>
    </xf>
    <xf numFmtId="0" fontId="8" fillId="3" borderId="2" xfId="0" applyFont="1" applyFill="1" applyBorder="1" applyAlignment="1">
      <alignment vertical="center" wrapText="1"/>
    </xf>
    <xf numFmtId="164" fontId="4" fillId="9" borderId="0" xfId="2" applyNumberFormat="1" applyFill="1" applyAlignment="1">
      <alignment horizontal="left"/>
    </xf>
    <xf numFmtId="164" fontId="0" fillId="5" borderId="5" xfId="0" applyNumberFormat="1" applyFill="1" applyBorder="1"/>
    <xf numFmtId="0" fontId="4" fillId="0" borderId="5" xfId="2" applyBorder="1" applyAlignment="1">
      <alignment horizontal="center"/>
    </xf>
    <xf numFmtId="164" fontId="4" fillId="0" borderId="5" xfId="2" applyNumberFormat="1" applyBorder="1" applyAlignment="1">
      <alignment horizontal="left"/>
    </xf>
    <xf numFmtId="0" fontId="4" fillId="7" borderId="1" xfId="2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164" fontId="4" fillId="0" borderId="2" xfId="2" applyNumberFormat="1" applyBorder="1" applyAlignment="1">
      <alignment horizontal="left"/>
    </xf>
    <xf numFmtId="164" fontId="4" fillId="13" borderId="0" xfId="2" applyNumberFormat="1" applyFill="1" applyAlignment="1">
      <alignment horizontal="left"/>
    </xf>
    <xf numFmtId="0" fontId="0" fillId="12" borderId="1" xfId="0" applyFill="1" applyBorder="1"/>
    <xf numFmtId="164" fontId="0" fillId="5" borderId="2" xfId="0" applyNumberFormat="1" applyFill="1" applyBorder="1"/>
    <xf numFmtId="164" fontId="4" fillId="8" borderId="0" xfId="2" applyNumberFormat="1" applyFill="1" applyAlignment="1">
      <alignment horizontal="left"/>
    </xf>
    <xf numFmtId="164" fontId="4" fillId="0" borderId="0" xfId="2" applyNumberFormat="1" applyAlignment="1">
      <alignment horizontal="left"/>
    </xf>
    <xf numFmtId="0" fontId="0" fillId="12" borderId="1" xfId="0" applyFill="1" applyBorder="1" applyAlignment="1">
      <alignment horizontal="center"/>
    </xf>
    <xf numFmtId="0" fontId="4" fillId="0" borderId="6" xfId="2" applyBorder="1" applyAlignment="1">
      <alignment horizontal="center"/>
    </xf>
    <xf numFmtId="0" fontId="5" fillId="3" borderId="2" xfId="0" applyFont="1" applyFill="1" applyBorder="1"/>
    <xf numFmtId="0" fontId="0" fillId="0" borderId="2" xfId="0" applyBorder="1" applyAlignment="1">
      <alignment horizontal="center"/>
    </xf>
    <xf numFmtId="0" fontId="0" fillId="0" borderId="2" xfId="0" applyBorder="1"/>
    <xf numFmtId="164" fontId="4" fillId="0" borderId="2" xfId="2" applyNumberFormat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4" fillId="5" borderId="2" xfId="2" applyFill="1" applyBorder="1" applyAlignment="1">
      <alignment horizontal="left"/>
    </xf>
    <xf numFmtId="0" fontId="9" fillId="11" borderId="1" xfId="2" applyFont="1" applyFill="1" applyBorder="1" applyAlignment="1">
      <alignment horizontal="left"/>
    </xf>
    <xf numFmtId="0" fontId="3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14" borderId="2" xfId="2" applyFill="1" applyBorder="1" applyAlignment="1">
      <alignment horizontal="left"/>
    </xf>
    <xf numFmtId="164" fontId="4" fillId="14" borderId="2" xfId="2" applyNumberFormat="1" applyFill="1" applyBorder="1" applyAlignment="1">
      <alignment horizontal="left"/>
    </xf>
    <xf numFmtId="0" fontId="4" fillId="14" borderId="2" xfId="2" applyFill="1" applyBorder="1" applyAlignment="1">
      <alignment horizontal="center" vertical="center"/>
    </xf>
    <xf numFmtId="0" fontId="4" fillId="5" borderId="2" xfId="2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9" fillId="10" borderId="0" xfId="2" applyNumberFormat="1" applyFont="1" applyFill="1" applyAlignment="1">
      <alignment horizontal="left"/>
    </xf>
    <xf numFmtId="0" fontId="9" fillId="11" borderId="1" xfId="2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4" fontId="4" fillId="7" borderId="1" xfId="2" applyNumberFormat="1" applyFill="1" applyBorder="1" applyAlignment="1">
      <alignment horizontal="left"/>
    </xf>
    <xf numFmtId="0" fontId="4" fillId="6" borderId="1" xfId="2" applyFill="1" applyBorder="1" applyAlignment="1">
      <alignment horizontal="center"/>
    </xf>
    <xf numFmtId="164" fontId="4" fillId="7" borderId="0" xfId="2" applyNumberFormat="1" applyFill="1" applyAlignment="1">
      <alignment horizontal="left"/>
    </xf>
    <xf numFmtId="0" fontId="4" fillId="9" borderId="1" xfId="2" applyFill="1" applyBorder="1" applyAlignment="1">
      <alignment horizontal="center"/>
    </xf>
    <xf numFmtId="0" fontId="4" fillId="8" borderId="3" xfId="2" applyFill="1" applyBorder="1" applyAlignment="1">
      <alignment horizontal="center"/>
    </xf>
    <xf numFmtId="164" fontId="4" fillId="9" borderId="2" xfId="2" applyNumberFormat="1" applyFill="1" applyBorder="1" applyAlignment="1">
      <alignment horizontal="left"/>
    </xf>
  </cellXfs>
  <cellStyles count="8">
    <cellStyle name="40% - Accent5" xfId="1" builtinId="47"/>
    <cellStyle name="Normal" xfId="0" builtinId="0"/>
    <cellStyle name="Normal 2" xfId="4"/>
    <cellStyle name="Normal 3" xfId="3"/>
    <cellStyle name="Normal_Sheet1" xfId="2"/>
    <cellStyle name="Percent 2" xfId="5"/>
    <cellStyle name="Percent 2 2" xfId="6"/>
    <cellStyle name="Style 1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5"/>
  <sheetViews>
    <sheetView tabSelected="1" workbookViewId="0">
      <selection activeCell="F5" sqref="F5"/>
    </sheetView>
  </sheetViews>
  <sheetFormatPr defaultRowHeight="14.4" x14ac:dyDescent="0.3"/>
  <cols>
    <col min="1" max="1" width="55.88671875" bestFit="1" customWidth="1"/>
    <col min="2" max="2" width="24.109375" bestFit="1" customWidth="1"/>
    <col min="3" max="3" width="28.5546875" customWidth="1"/>
    <col min="6" max="6" width="24.6640625" customWidth="1"/>
    <col min="7" max="7" width="19.88671875" bestFit="1" customWidth="1"/>
  </cols>
  <sheetData>
    <row r="1" spans="1:7" s="39" customFormat="1" ht="28.8" x14ac:dyDescent="0.3">
      <c r="A1" s="37" t="s">
        <v>0</v>
      </c>
      <c r="B1" s="37"/>
      <c r="C1" s="38"/>
      <c r="F1" s="40" t="s">
        <v>1</v>
      </c>
      <c r="G1" s="39" t="s">
        <v>2</v>
      </c>
    </row>
    <row r="2" spans="1:7" x14ac:dyDescent="0.3">
      <c r="G2">
        <f xml:space="preserve"> getAttemptsTillToday(B4:B100, F9)</f>
        <v>111</v>
      </c>
    </row>
    <row r="3" spans="1:7" x14ac:dyDescent="0.3">
      <c r="A3" s="4" t="s">
        <v>3</v>
      </c>
      <c r="B3" s="11" t="s">
        <v>4</v>
      </c>
      <c r="C3" s="4" t="s">
        <v>5</v>
      </c>
      <c r="F3" t="s">
        <v>6</v>
      </c>
      <c r="G3">
        <f ca="1" xml:space="preserve"> (COUNTIF(B4:B100,"&lt;" &amp; TODAY()) ) - G9</f>
        <v>42</v>
      </c>
    </row>
    <row r="4" spans="1:7" x14ac:dyDescent="0.3">
      <c r="A4" s="5" t="s">
        <v>25</v>
      </c>
      <c r="B4" s="53">
        <v>43074.427083333336</v>
      </c>
      <c r="C4" s="54" t="s">
        <v>7</v>
      </c>
      <c r="F4" s="5" t="s">
        <v>8</v>
      </c>
      <c r="G4">
        <f ca="1">CountCellsByColor( participant_cell_range, F4)</f>
        <v>8</v>
      </c>
    </row>
    <row r="5" spans="1:7" x14ac:dyDescent="0.3">
      <c r="A5" s="5" t="s">
        <v>26</v>
      </c>
      <c r="B5" s="55">
        <v>43157.427083333336</v>
      </c>
      <c r="C5" s="54" t="s">
        <v>7</v>
      </c>
      <c r="F5" s="6" t="s">
        <v>9</v>
      </c>
      <c r="G5">
        <f ca="1">CountCellsByColor( participant_cell_range,F5)</f>
        <v>11</v>
      </c>
    </row>
    <row r="6" spans="1:7" x14ac:dyDescent="0.3">
      <c r="A6" s="36" t="s">
        <v>27</v>
      </c>
      <c r="B6" s="46">
        <v>43160.458333333336</v>
      </c>
      <c r="C6" s="47" t="s">
        <v>10</v>
      </c>
      <c r="F6" s="24" t="s">
        <v>11</v>
      </c>
      <c r="G6">
        <f ca="1">CountCellsByColor( participant_cell_range,F6)</f>
        <v>2</v>
      </c>
    </row>
    <row r="7" spans="1:7" x14ac:dyDescent="0.3">
      <c r="A7" s="36" t="s">
        <v>27</v>
      </c>
      <c r="B7" s="46">
        <v>43178.427083333336</v>
      </c>
      <c r="C7" s="47" t="s">
        <v>10</v>
      </c>
    </row>
    <row r="8" spans="1:7" x14ac:dyDescent="0.3">
      <c r="A8" s="36" t="s">
        <v>27</v>
      </c>
      <c r="B8" s="46">
        <v>43193.427083333336</v>
      </c>
      <c r="C8" s="47" t="s">
        <v>10</v>
      </c>
    </row>
    <row r="9" spans="1:7" x14ac:dyDescent="0.3">
      <c r="A9" s="5" t="s">
        <v>28</v>
      </c>
      <c r="B9" s="55">
        <v>43220.5625</v>
      </c>
      <c r="C9" s="54" t="s">
        <v>7</v>
      </c>
      <c r="F9" s="36" t="s">
        <v>12</v>
      </c>
      <c r="G9">
        <f ca="1">CountCellsByColor( participant_cell_range,F9)</f>
        <v>8</v>
      </c>
    </row>
    <row r="10" spans="1:7" x14ac:dyDescent="0.3">
      <c r="A10" s="6" t="s">
        <v>29</v>
      </c>
      <c r="B10" s="16">
        <v>43227.427083333336</v>
      </c>
      <c r="C10" s="7" t="s">
        <v>10</v>
      </c>
    </row>
    <row r="11" spans="1:7" x14ac:dyDescent="0.3">
      <c r="A11" s="6" t="s">
        <v>30</v>
      </c>
      <c r="B11" s="16">
        <v>43234.427083333336</v>
      </c>
      <c r="C11" s="56" t="s">
        <v>10</v>
      </c>
    </row>
    <row r="12" spans="1:7" x14ac:dyDescent="0.3">
      <c r="A12" s="6" t="s">
        <v>31</v>
      </c>
      <c r="B12" s="16">
        <v>43241.427083333336</v>
      </c>
      <c r="C12" s="7" t="s">
        <v>10</v>
      </c>
      <c r="F12" s="13" t="s">
        <v>13</v>
      </c>
      <c r="G12" s="49">
        <f ca="1" xml:space="preserve"> (COUNTIFS( B4:B100,"&gt;" &amp; TODAY(), B4:B100,"&lt;=7/31/2018") )</f>
        <v>0</v>
      </c>
    </row>
    <row r="13" spans="1:7" x14ac:dyDescent="0.3">
      <c r="A13" s="36" t="s">
        <v>27</v>
      </c>
      <c r="B13" s="46">
        <v>43245.427083333336</v>
      </c>
      <c r="C13" s="47" t="s">
        <v>10</v>
      </c>
      <c r="F13" s="52" t="s">
        <v>14</v>
      </c>
      <c r="G13" s="50">
        <f ca="1" xml:space="preserve"> (COUNTIFS( B4:B100,"&gt;" &amp; TODAY(), B4:B100,"&lt;=8/30/2018") ) - G12</f>
        <v>3</v>
      </c>
    </row>
    <row r="14" spans="1:7" x14ac:dyDescent="0.3">
      <c r="A14" s="36" t="s">
        <v>32</v>
      </c>
      <c r="B14" s="46">
        <v>43249.416666666664</v>
      </c>
      <c r="C14" s="47" t="s">
        <v>15</v>
      </c>
      <c r="F14" s="48" t="s">
        <v>16</v>
      </c>
      <c r="G14" s="51">
        <f ca="1" xml:space="preserve"> (COUNTIFS( B4:B100,"&gt;" &amp; TODAY(), B4:B100,"&lt;=12/31/2018") ) - G12 - G13</f>
        <v>4</v>
      </c>
    </row>
    <row r="15" spans="1:7" x14ac:dyDescent="0.3">
      <c r="A15" s="20" t="s">
        <v>33</v>
      </c>
      <c r="B15" s="55">
        <v>43252.53125</v>
      </c>
      <c r="C15" s="54" t="s">
        <v>10</v>
      </c>
      <c r="F15" s="48" t="s">
        <v>17</v>
      </c>
      <c r="G15" s="48">
        <f ca="1" xml:space="preserve"> (COUNTIF(B4:B100,"&gt;" &amp; TODAY()) )</f>
        <v>7</v>
      </c>
    </row>
    <row r="16" spans="1:7" x14ac:dyDescent="0.3">
      <c r="A16" s="6" t="s">
        <v>34</v>
      </c>
      <c r="B16" s="16">
        <v>43256.427083333336</v>
      </c>
      <c r="C16" s="21" t="s">
        <v>18</v>
      </c>
    </row>
    <row r="17" spans="1:7" x14ac:dyDescent="0.3">
      <c r="A17" s="6" t="s">
        <v>35</v>
      </c>
      <c r="B17" s="16">
        <v>43262.416666666664</v>
      </c>
      <c r="C17" s="7" t="s">
        <v>10</v>
      </c>
    </row>
    <row r="18" spans="1:7" x14ac:dyDescent="0.3">
      <c r="A18" s="6" t="s">
        <v>30</v>
      </c>
      <c r="B18" s="16">
        <v>43263.427083333336</v>
      </c>
      <c r="C18" s="7" t="s">
        <v>10</v>
      </c>
    </row>
    <row r="19" spans="1:7" x14ac:dyDescent="0.3">
      <c r="A19" s="6" t="s">
        <v>31</v>
      </c>
      <c r="B19" s="16">
        <v>43271.53125</v>
      </c>
      <c r="C19" s="7" t="s">
        <v>10</v>
      </c>
    </row>
    <row r="20" spans="1:7" x14ac:dyDescent="0.3">
      <c r="A20" s="36" t="s">
        <v>27</v>
      </c>
      <c r="B20" s="46">
        <v>43276.458333333336</v>
      </c>
      <c r="C20" s="47" t="s">
        <v>10</v>
      </c>
    </row>
    <row r="21" spans="1:7" x14ac:dyDescent="0.3">
      <c r="A21" s="24" t="s">
        <v>36</v>
      </c>
      <c r="B21" s="23">
        <v>43277.416666666664</v>
      </c>
      <c r="C21" s="28" t="s">
        <v>18</v>
      </c>
    </row>
    <row r="22" spans="1:7" x14ac:dyDescent="0.3">
      <c r="A22" s="24" t="s">
        <v>37</v>
      </c>
      <c r="B22" s="23">
        <v>43279.427083333336</v>
      </c>
      <c r="C22" s="28" t="s">
        <v>19</v>
      </c>
    </row>
    <row r="23" spans="1:7" x14ac:dyDescent="0.3">
      <c r="A23" s="36" t="s">
        <v>27</v>
      </c>
      <c r="B23" s="26">
        <v>43281.520833333336</v>
      </c>
      <c r="C23" s="57" t="s">
        <v>7</v>
      </c>
    </row>
    <row r="24" spans="1:7" x14ac:dyDescent="0.3">
      <c r="A24" s="14" t="s">
        <v>35</v>
      </c>
      <c r="B24" s="58">
        <v>43285.427083333336</v>
      </c>
      <c r="C24" s="12" t="s">
        <v>10</v>
      </c>
    </row>
    <row r="25" spans="1:7" x14ac:dyDescent="0.3">
      <c r="A25" s="14" t="s">
        <v>38</v>
      </c>
      <c r="B25" s="58">
        <v>43290.427083333336</v>
      </c>
      <c r="C25" s="12" t="s">
        <v>10</v>
      </c>
    </row>
    <row r="26" spans="1:7" x14ac:dyDescent="0.3">
      <c r="A26" s="2" t="s">
        <v>39</v>
      </c>
      <c r="B26" s="22">
        <v>43294.427083333336</v>
      </c>
      <c r="C26" s="3" t="s">
        <v>10</v>
      </c>
    </row>
    <row r="27" spans="1:7" x14ac:dyDescent="0.3">
      <c r="A27" s="1" t="s">
        <v>39</v>
      </c>
      <c r="B27" s="22">
        <v>43294.427083333336</v>
      </c>
      <c r="C27" s="3" t="s">
        <v>7</v>
      </c>
    </row>
    <row r="28" spans="1:7" x14ac:dyDescent="0.3">
      <c r="A28" s="20" t="s">
        <v>40</v>
      </c>
      <c r="B28" s="55">
        <v>43299.427083333336</v>
      </c>
      <c r="C28" s="54" t="s">
        <v>10</v>
      </c>
      <c r="F28" s="48"/>
      <c r="G28" s="48"/>
    </row>
    <row r="29" spans="1:7" x14ac:dyDescent="0.3">
      <c r="A29" s="8" t="s">
        <v>39</v>
      </c>
      <c r="B29" s="22">
        <v>43300.53125</v>
      </c>
      <c r="C29" s="31" t="s">
        <v>10</v>
      </c>
    </row>
    <row r="30" spans="1:7" x14ac:dyDescent="0.3">
      <c r="A30" s="30" t="s">
        <v>39</v>
      </c>
      <c r="B30" s="22">
        <v>43301.53125</v>
      </c>
      <c r="C30" s="3" t="s">
        <v>10</v>
      </c>
    </row>
    <row r="31" spans="1:7" x14ac:dyDescent="0.3">
      <c r="A31" s="36" t="s">
        <v>27</v>
      </c>
      <c r="B31" s="46">
        <v>43301.53125</v>
      </c>
      <c r="C31" s="47" t="s">
        <v>10</v>
      </c>
    </row>
    <row r="32" spans="1:7" x14ac:dyDescent="0.3">
      <c r="A32" s="20" t="s">
        <v>41</v>
      </c>
      <c r="B32" s="55">
        <v>43319.416666666664</v>
      </c>
      <c r="C32" s="54" t="s">
        <v>18</v>
      </c>
      <c r="F32" s="48"/>
      <c r="G32" s="48"/>
    </row>
    <row r="33" spans="1:7" x14ac:dyDescent="0.3">
      <c r="A33" s="14" t="s">
        <v>42</v>
      </c>
      <c r="B33" s="58">
        <v>43305.427083333336</v>
      </c>
      <c r="C33" s="12" t="s">
        <v>18</v>
      </c>
    </row>
    <row r="34" spans="1:7" x14ac:dyDescent="0.3">
      <c r="A34" s="20" t="s">
        <v>43</v>
      </c>
      <c r="B34" s="55">
        <v>43306.427083333336</v>
      </c>
      <c r="C34" s="54" t="s">
        <v>10</v>
      </c>
      <c r="F34" s="48"/>
      <c r="G34" s="48"/>
    </row>
    <row r="35" spans="1:7" x14ac:dyDescent="0.3">
      <c r="A35" s="14" t="s">
        <v>44</v>
      </c>
      <c r="B35" s="58">
        <v>43306.5</v>
      </c>
      <c r="C35" s="12" t="s">
        <v>10</v>
      </c>
    </row>
    <row r="36" spans="1:7" x14ac:dyDescent="0.3">
      <c r="A36" s="32" t="s">
        <v>45</v>
      </c>
      <c r="B36" s="22">
        <v>43307.427083333336</v>
      </c>
      <c r="C36" s="3" t="s">
        <v>10</v>
      </c>
    </row>
    <row r="37" spans="1:7" x14ac:dyDescent="0.3">
      <c r="A37" s="20" t="s">
        <v>46</v>
      </c>
      <c r="B37" s="55">
        <v>43307.53125</v>
      </c>
      <c r="C37" s="54" t="s">
        <v>20</v>
      </c>
      <c r="F37" s="48"/>
      <c r="G37" s="48"/>
    </row>
    <row r="38" spans="1:7" x14ac:dyDescent="0.3">
      <c r="A38" s="1" t="s">
        <v>47</v>
      </c>
      <c r="B38" s="22">
        <v>43307.53125</v>
      </c>
      <c r="C38" s="3" t="s">
        <v>10</v>
      </c>
    </row>
    <row r="39" spans="1:7" x14ac:dyDescent="0.3">
      <c r="A39" s="15" t="s">
        <v>48</v>
      </c>
      <c r="B39" s="22">
        <v>43307.927083333336</v>
      </c>
      <c r="C39" s="3" t="s">
        <v>10</v>
      </c>
    </row>
    <row r="40" spans="1:7" x14ac:dyDescent="0.3">
      <c r="A40" s="1" t="s">
        <v>49</v>
      </c>
      <c r="B40" s="22">
        <v>43308.416666666664</v>
      </c>
      <c r="C40" s="3" t="s">
        <v>7</v>
      </c>
    </row>
    <row r="41" spans="1:7" x14ac:dyDescent="0.3">
      <c r="A41" s="15" t="s">
        <v>50</v>
      </c>
      <c r="B41" s="22">
        <v>43308.520833333336</v>
      </c>
      <c r="C41" s="3" t="s">
        <v>10</v>
      </c>
    </row>
    <row r="42" spans="1:7" x14ac:dyDescent="0.3">
      <c r="A42" s="1" t="s">
        <v>51</v>
      </c>
      <c r="B42" s="22">
        <v>43311.458333333336</v>
      </c>
      <c r="C42" s="3" t="s">
        <v>10</v>
      </c>
    </row>
    <row r="43" spans="1:7" x14ac:dyDescent="0.3">
      <c r="A43" s="15" t="s">
        <v>52</v>
      </c>
      <c r="B43" s="22">
        <v>43311.5625</v>
      </c>
      <c r="C43" s="3" t="s">
        <v>10</v>
      </c>
    </row>
    <row r="44" spans="1:7" x14ac:dyDescent="0.3">
      <c r="A44" s="1" t="s">
        <v>53</v>
      </c>
      <c r="B44" s="22">
        <v>43311.5625</v>
      </c>
      <c r="C44" s="3" t="s">
        <v>7</v>
      </c>
    </row>
    <row r="45" spans="1:7" x14ac:dyDescent="0.3">
      <c r="A45" s="15" t="s">
        <v>54</v>
      </c>
      <c r="B45" s="22">
        <v>43311.958333333336</v>
      </c>
      <c r="C45" s="3" t="s">
        <v>10</v>
      </c>
    </row>
    <row r="46" spans="1:7" x14ac:dyDescent="0.3">
      <c r="A46" s="1" t="s">
        <v>55</v>
      </c>
      <c r="B46" s="22">
        <v>43312.416666666664</v>
      </c>
      <c r="C46" s="3" t="s">
        <v>10</v>
      </c>
    </row>
    <row r="47" spans="1:7" x14ac:dyDescent="0.3">
      <c r="A47" s="15" t="s">
        <v>56</v>
      </c>
      <c r="B47" s="22">
        <v>43312.4375</v>
      </c>
      <c r="C47" s="3" t="s">
        <v>7</v>
      </c>
    </row>
    <row r="48" spans="1:7" x14ac:dyDescent="0.3">
      <c r="A48" s="1" t="s">
        <v>57</v>
      </c>
      <c r="B48" s="22">
        <v>43312.520833333336</v>
      </c>
      <c r="C48" s="3" t="s">
        <v>10</v>
      </c>
    </row>
    <row r="49" spans="1:3" x14ac:dyDescent="0.3">
      <c r="A49" s="15" t="s">
        <v>58</v>
      </c>
      <c r="B49" s="22">
        <v>43312.541666666664</v>
      </c>
      <c r="C49" s="3" t="s">
        <v>7</v>
      </c>
    </row>
    <row r="50" spans="1:3" x14ac:dyDescent="0.3">
      <c r="A50" s="1" t="s">
        <v>49</v>
      </c>
      <c r="B50" s="22">
        <v>43313.427083333336</v>
      </c>
      <c r="C50" s="3" t="s">
        <v>7</v>
      </c>
    </row>
    <row r="51" spans="1:3" ht="43.2" x14ac:dyDescent="0.3">
      <c r="A51" s="15" t="s">
        <v>50</v>
      </c>
      <c r="B51" s="33">
        <v>43315.458333333336</v>
      </c>
      <c r="C51" s="34" t="s">
        <v>21</v>
      </c>
    </row>
    <row r="52" spans="1:3" x14ac:dyDescent="0.3">
      <c r="A52" s="1" t="s">
        <v>51</v>
      </c>
      <c r="B52" s="22">
        <v>43326.552083333336</v>
      </c>
      <c r="C52" s="3" t="s">
        <v>7</v>
      </c>
    </row>
    <row r="53" spans="1:3" x14ac:dyDescent="0.3">
      <c r="A53" s="15" t="s">
        <v>52</v>
      </c>
      <c r="B53" s="22">
        <v>43327.416666666664</v>
      </c>
      <c r="C53" s="3" t="s">
        <v>10</v>
      </c>
    </row>
    <row r="54" spans="1:3" x14ac:dyDescent="0.3">
      <c r="A54" s="1" t="s">
        <v>53</v>
      </c>
      <c r="B54" s="22">
        <v>43336.416666666664</v>
      </c>
      <c r="C54" s="3" t="s">
        <v>7</v>
      </c>
    </row>
    <row r="55" spans="1:3" x14ac:dyDescent="0.3">
      <c r="A55" s="15" t="s">
        <v>54</v>
      </c>
      <c r="B55" s="27">
        <v>43336.427083333336</v>
      </c>
      <c r="C55" s="29" t="s">
        <v>10</v>
      </c>
    </row>
    <row r="56" spans="1:3" ht="43.2" x14ac:dyDescent="0.3">
      <c r="A56" s="1" t="s">
        <v>55</v>
      </c>
      <c r="B56" s="33">
        <v>43339.427083333336</v>
      </c>
      <c r="C56" s="34" t="s">
        <v>22</v>
      </c>
    </row>
    <row r="57" spans="1:3" x14ac:dyDescent="0.3">
      <c r="A57" s="15" t="s">
        <v>56</v>
      </c>
      <c r="B57" s="19">
        <v>43342.416666666664</v>
      </c>
      <c r="C57" s="3" t="s">
        <v>10</v>
      </c>
    </row>
    <row r="58" spans="1:3" x14ac:dyDescent="0.3">
      <c r="A58" s="1" t="s">
        <v>57</v>
      </c>
      <c r="B58" s="19">
        <v>43381.427083333336</v>
      </c>
      <c r="C58" s="3" t="s">
        <v>10</v>
      </c>
    </row>
    <row r="59" spans="1:3" x14ac:dyDescent="0.3">
      <c r="A59" s="1" t="s">
        <v>49</v>
      </c>
      <c r="B59" s="19">
        <v>43388.427083333336</v>
      </c>
      <c r="C59" s="3" t="s">
        <v>10</v>
      </c>
    </row>
    <row r="60" spans="1:3" x14ac:dyDescent="0.3">
      <c r="A60" s="15" t="s">
        <v>50</v>
      </c>
      <c r="B60" s="22">
        <v>43454.416666666664</v>
      </c>
      <c r="C60" s="3" t="s">
        <v>7</v>
      </c>
    </row>
    <row r="61" spans="1:3" x14ac:dyDescent="0.3">
      <c r="A61" s="1" t="s">
        <v>51</v>
      </c>
      <c r="B61" s="27"/>
      <c r="C61" s="18" t="s">
        <v>7</v>
      </c>
    </row>
    <row r="62" spans="1:3" x14ac:dyDescent="0.3">
      <c r="A62" s="15" t="s">
        <v>52</v>
      </c>
      <c r="B62" s="22"/>
      <c r="C62" s="3" t="s">
        <v>7</v>
      </c>
    </row>
    <row r="63" spans="1:3" x14ac:dyDescent="0.3">
      <c r="A63" s="41" t="s">
        <v>59</v>
      </c>
      <c r="B63" s="42"/>
      <c r="C63" s="43" t="s">
        <v>10</v>
      </c>
    </row>
    <row r="64" spans="1:3" x14ac:dyDescent="0.3">
      <c r="A64" s="41" t="s">
        <v>60</v>
      </c>
      <c r="B64" s="41"/>
      <c r="C64" s="43" t="s">
        <v>10</v>
      </c>
    </row>
    <row r="65" spans="1:3" x14ac:dyDescent="0.3">
      <c r="A65" s="41" t="s">
        <v>60</v>
      </c>
      <c r="B65" s="41"/>
      <c r="C65" s="43" t="s">
        <v>10</v>
      </c>
    </row>
    <row r="66" spans="1:3" x14ac:dyDescent="0.3">
      <c r="A66" s="41" t="s">
        <v>61</v>
      </c>
      <c r="B66" s="41"/>
      <c r="C66" s="43" t="s">
        <v>10</v>
      </c>
    </row>
    <row r="67" spans="1:3" x14ac:dyDescent="0.3">
      <c r="A67" s="41" t="s">
        <v>62</v>
      </c>
      <c r="B67" s="41"/>
      <c r="C67" s="43" t="s">
        <v>10</v>
      </c>
    </row>
    <row r="68" spans="1:3" x14ac:dyDescent="0.3">
      <c r="A68" s="41" t="s">
        <v>63</v>
      </c>
      <c r="B68" s="41"/>
      <c r="C68" s="43" t="s">
        <v>10</v>
      </c>
    </row>
    <row r="69" spans="1:3" ht="28.8" x14ac:dyDescent="0.3">
      <c r="A69" s="10" t="s">
        <v>64</v>
      </c>
      <c r="B69" s="25"/>
      <c r="C69" s="44" t="s">
        <v>10</v>
      </c>
    </row>
    <row r="70" spans="1:3" ht="28.8" x14ac:dyDescent="0.3">
      <c r="A70" s="10" t="s">
        <v>64</v>
      </c>
      <c r="B70" s="17"/>
      <c r="C70" s="44" t="s">
        <v>10</v>
      </c>
    </row>
    <row r="71" spans="1:3" x14ac:dyDescent="0.3">
      <c r="A71" s="41" t="s">
        <v>65</v>
      </c>
      <c r="B71" s="41"/>
      <c r="C71" s="43" t="s">
        <v>7</v>
      </c>
    </row>
    <row r="72" spans="1:3" x14ac:dyDescent="0.3">
      <c r="A72" s="41" t="s">
        <v>66</v>
      </c>
      <c r="B72" s="41"/>
      <c r="C72" s="43" t="s">
        <v>10</v>
      </c>
    </row>
    <row r="73" spans="1:3" x14ac:dyDescent="0.3">
      <c r="A73" s="35" t="s">
        <v>67</v>
      </c>
      <c r="B73" s="25"/>
      <c r="C73" s="45" t="s">
        <v>18</v>
      </c>
    </row>
    <row r="74" spans="1:3" x14ac:dyDescent="0.3">
      <c r="A74" s="9" t="s">
        <v>68</v>
      </c>
      <c r="B74" s="25"/>
      <c r="C74" s="45" t="s">
        <v>23</v>
      </c>
    </row>
    <row r="75" spans="1:3" x14ac:dyDescent="0.3">
      <c r="A75" s="9" t="s">
        <v>69</v>
      </c>
      <c r="B75" s="25"/>
      <c r="C75" s="45" t="s">
        <v>24</v>
      </c>
    </row>
  </sheetData>
  <autoFilter ref="A3:D75">
    <sortState ref="A4:D75">
      <sortCondition ref="B3:B75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1512EA96EC424F911E93165981825B" ma:contentTypeVersion="2" ma:contentTypeDescription="Create a new document." ma:contentTypeScope="" ma:versionID="6f8417ce406cbd1a921af8c54345699e">
  <xsd:schema xmlns:xsd="http://www.w3.org/2001/XMLSchema" xmlns:xs="http://www.w3.org/2001/XMLSchema" xmlns:p="http://schemas.microsoft.com/office/2006/metadata/properties" xmlns:ns2="5a0ee3db-dd24-44ab-89e2-9584b7c410bf" targetNamespace="http://schemas.microsoft.com/office/2006/metadata/properties" ma:root="true" ma:fieldsID="adf9935b43a65fa76a6189401fa8a95e" ns2:_="">
    <xsd:import namespace="5a0ee3db-dd24-44ab-89e2-9584b7c410b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0ee3db-dd24-44ab-89e2-9584b7c410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23686E-8A12-4B64-9C0F-F3BB93B03088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5a0ee3db-dd24-44ab-89e2-9584b7c410bf"/>
    <ds:schemaRef ds:uri="http://schemas.microsoft.com/office/2006/metadata/properties"/>
    <ds:schemaRef ds:uri="http://purl.org/dc/terms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BFCC797C-1EDC-43AA-B894-E44CC966C7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0ee3db-dd24-44ab-89e2-9584b7c410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45AEAD-663B-46B8-86C8-13047CDB04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Kouogue_Ngassam__Fred__already_took_the_exam__68</vt:lpstr>
      <vt:lpstr>participant_cell_range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Curoopen, Davinen S.</dc:creator>
  <cp:keywords/>
  <dc:description/>
  <cp:lastModifiedBy>Curoopen, Davinen S.</cp:lastModifiedBy>
  <cp:revision/>
  <dcterms:created xsi:type="dcterms:W3CDTF">2018-07-05T07:35:57Z</dcterms:created>
  <dcterms:modified xsi:type="dcterms:W3CDTF">2018-08-21T06:56:41Z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0x010100781512EA96EC424F911E93165981825B</vt:lpwstr>
  </property>
</Properties>
</file>